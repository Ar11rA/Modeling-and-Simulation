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LAG\Documents\M&amp;S\"/>
    </mc:Choice>
  </mc:AlternateContent>
  <bookViews>
    <workbookView xWindow="0" yWindow="0" windowWidth="23040" windowHeight="9384" activeTab="2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7" i="3" l="1"/>
  <c r="O26" i="3"/>
  <c r="O25" i="3"/>
  <c r="O24" i="3"/>
  <c r="O23" i="3"/>
  <c r="O22" i="3"/>
  <c r="O21" i="3"/>
  <c r="O20" i="3"/>
  <c r="O19" i="3"/>
  <c r="O18" i="3"/>
  <c r="O17" i="3"/>
  <c r="N27" i="3" l="1"/>
  <c r="J2" i="3"/>
  <c r="I2" i="3"/>
  <c r="H2" i="3"/>
  <c r="F3" i="3"/>
  <c r="F4" i="3" s="1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G3" i="3" l="1"/>
  <c r="H3" i="3" s="1"/>
  <c r="G4" i="3" s="1"/>
  <c r="N11" i="3"/>
  <c r="I3" i="3" l="1"/>
  <c r="J3" i="3" s="1"/>
  <c r="H4" i="3"/>
  <c r="G5" i="3" s="1"/>
  <c r="I4" i="3"/>
  <c r="H17" i="2"/>
  <c r="G17" i="2"/>
  <c r="F17" i="2"/>
  <c r="D12" i="1"/>
  <c r="J4" i="3" l="1"/>
  <c r="H5" i="3"/>
  <c r="G6" i="3" s="1"/>
  <c r="I5" i="3"/>
  <c r="J5" i="3" l="1"/>
  <c r="H6" i="3"/>
  <c r="G7" i="3" s="1"/>
  <c r="I6" i="3"/>
  <c r="J6" i="3" l="1"/>
  <c r="H7" i="3"/>
  <c r="G8" i="3" s="1"/>
  <c r="I7" i="3"/>
  <c r="J7" i="3" l="1"/>
  <c r="H8" i="3"/>
  <c r="G9" i="3" s="1"/>
  <c r="I8" i="3"/>
  <c r="J8" i="3" l="1"/>
  <c r="H9" i="3"/>
  <c r="G10" i="3" s="1"/>
  <c r="I9" i="3"/>
  <c r="J9" i="3" l="1"/>
  <c r="H10" i="3"/>
  <c r="G11" i="3" s="1"/>
  <c r="I10" i="3"/>
  <c r="J10" i="3" l="1"/>
  <c r="H11" i="3"/>
  <c r="G12" i="3" s="1"/>
  <c r="I11" i="3"/>
  <c r="J11" i="3" l="1"/>
  <c r="H12" i="3"/>
  <c r="G13" i="3" s="1"/>
  <c r="I12" i="3"/>
  <c r="J12" i="3" l="1"/>
  <c r="H13" i="3"/>
  <c r="G14" i="3" s="1"/>
  <c r="I13" i="3"/>
  <c r="J13" i="3" l="1"/>
  <c r="H14" i="3"/>
  <c r="G15" i="3" s="1"/>
  <c r="I14" i="3"/>
  <c r="J14" i="3" s="1"/>
  <c r="H15" i="3" l="1"/>
  <c r="G16" i="3" s="1"/>
  <c r="I15" i="3"/>
  <c r="J15" i="3" s="1"/>
  <c r="H16" i="3" l="1"/>
  <c r="G17" i="3" s="1"/>
  <c r="I16" i="3"/>
  <c r="J16" i="3" s="1"/>
  <c r="H17" i="3" l="1"/>
  <c r="G18" i="3" s="1"/>
  <c r="I17" i="3"/>
  <c r="J17" i="3" s="1"/>
  <c r="H18" i="3" l="1"/>
  <c r="G19" i="3" s="1"/>
  <c r="I18" i="3"/>
  <c r="J18" i="3" s="1"/>
  <c r="H19" i="3" l="1"/>
  <c r="G20" i="3" s="1"/>
  <c r="I19" i="3"/>
  <c r="J19" i="3" s="1"/>
  <c r="H20" i="3" l="1"/>
  <c r="G21" i="3" s="1"/>
  <c r="I20" i="3"/>
  <c r="J20" i="3" s="1"/>
  <c r="H21" i="3" l="1"/>
  <c r="I21" i="3"/>
  <c r="J21" i="3" s="1"/>
</calcChain>
</file>

<file path=xl/sharedStrings.xml><?xml version="1.0" encoding="utf-8"?>
<sst xmlns="http://schemas.openxmlformats.org/spreadsheetml/2006/main" count="93" uniqueCount="70">
  <si>
    <t>Sl No.</t>
  </si>
  <si>
    <t>Start Time</t>
  </si>
  <si>
    <t>Execution Time</t>
  </si>
  <si>
    <t>REERENCE TABLE</t>
  </si>
  <si>
    <t xml:space="preserve"> </t>
  </si>
  <si>
    <t>This is for Lead Time Probablities</t>
  </si>
  <si>
    <t>Probability</t>
  </si>
  <si>
    <t>Cumulative Prob.</t>
  </si>
  <si>
    <t>Random no. range</t>
  </si>
  <si>
    <t>1 to 15</t>
  </si>
  <si>
    <t>16 to 50</t>
  </si>
  <si>
    <t>51 to 90</t>
  </si>
  <si>
    <t>91 to 100</t>
  </si>
  <si>
    <t>1 to 20</t>
  </si>
  <si>
    <t>21 to 60</t>
  </si>
  <si>
    <t>61 to 85</t>
  </si>
  <si>
    <t>86 to 100</t>
  </si>
  <si>
    <t>Lead Time</t>
  </si>
  <si>
    <t>LEAD TIME :</t>
  </si>
  <si>
    <r>
      <t>A </t>
    </r>
    <r>
      <rPr>
        <b/>
        <sz val="10"/>
        <color rgb="FF222222"/>
        <rFont val="Arial"/>
        <family val="2"/>
      </rPr>
      <t>lead time</t>
    </r>
    <r>
      <rPr>
        <sz val="10"/>
        <color rgb="FF222222"/>
        <rFont val="Arial"/>
        <family val="2"/>
      </rPr>
      <t> is the latency between the initiation and execution of a process.</t>
    </r>
  </si>
  <si>
    <t>Newspaper Seller Problem 4-1 Probability Table</t>
  </si>
  <si>
    <t>This contains data for 3 types of days:</t>
  </si>
  <si>
    <t>Good, Fair and Bad</t>
  </si>
  <si>
    <t>Types of Newsday</t>
  </si>
  <si>
    <t xml:space="preserve">Good </t>
  </si>
  <si>
    <t>Fair</t>
  </si>
  <si>
    <t>Poor</t>
  </si>
  <si>
    <t>Cumulative Probability</t>
  </si>
  <si>
    <t>Random Assignment</t>
  </si>
  <si>
    <t>1 to 35</t>
  </si>
  <si>
    <t>36 to 80</t>
  </si>
  <si>
    <t>81 to 100</t>
  </si>
  <si>
    <r>
      <rPr>
        <sz val="11"/>
        <color rgb="FFFF0000"/>
        <rFont val="Calibri"/>
        <family val="2"/>
        <scheme val="minor"/>
      </rPr>
      <t xml:space="preserve">Note -- </t>
    </r>
    <r>
      <rPr>
        <sz val="11"/>
        <rFont val="Calibri"/>
        <family val="2"/>
        <scheme val="minor"/>
      </rPr>
      <t>The general table for demand probablities for the newspaper seller problem is is used.</t>
    </r>
  </si>
  <si>
    <t>Day</t>
  </si>
  <si>
    <t>Random Digit for newsday</t>
  </si>
  <si>
    <t>Type of Newsday</t>
  </si>
  <si>
    <t>Random digit for demand</t>
  </si>
  <si>
    <t>Demand</t>
  </si>
  <si>
    <t>Revenue from sales</t>
  </si>
  <si>
    <t>Daily Profit</t>
  </si>
  <si>
    <t>Avg Lead Time =</t>
  </si>
  <si>
    <t>Cost Price</t>
  </si>
  <si>
    <t xml:space="preserve">Single Server </t>
  </si>
  <si>
    <t>IAT varies from 1 to 8</t>
  </si>
  <si>
    <t>ST varies from 1 to 6</t>
  </si>
  <si>
    <t>IAT has equal probability</t>
  </si>
  <si>
    <t>ST</t>
  </si>
  <si>
    <t>Prob</t>
  </si>
  <si>
    <t>Cumulative Prob</t>
  </si>
  <si>
    <t>Range</t>
  </si>
  <si>
    <t>1 to 10</t>
  </si>
  <si>
    <t>11 to 30</t>
  </si>
  <si>
    <t>31 to 60</t>
  </si>
  <si>
    <t>86 to 95</t>
  </si>
  <si>
    <t>96 to 100</t>
  </si>
  <si>
    <t>Sl. No.</t>
  </si>
  <si>
    <t>IAT Random no.</t>
  </si>
  <si>
    <t>IAT</t>
  </si>
  <si>
    <t>ST Random no.</t>
  </si>
  <si>
    <t>Waiting Time</t>
  </si>
  <si>
    <t>Cumulative Waiting Time</t>
  </si>
  <si>
    <t>Avg Waiting Time</t>
  </si>
  <si>
    <t>Server Begin</t>
  </si>
  <si>
    <t>Server End</t>
  </si>
  <si>
    <t>First Customer -&gt;</t>
  </si>
  <si>
    <t>SB</t>
  </si>
  <si>
    <t>SE</t>
  </si>
  <si>
    <t>AT</t>
  </si>
  <si>
    <t>Bin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</si>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</sst>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222222"/>
      <name val="Arial"/>
      <family val="2"/>
    </font>
    <font>
      <b/>
      <sz val="10"/>
      <color rgb="FF222222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9">
    <xf numFmtId="0" fontId="0" fillId="0" borderId="0" xfId="0"/>
    <xf numFmtId="1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/>
    <xf numFmtId="0" fontId="2" fillId="3" borderId="0" xfId="2"/>
    <xf numFmtId="0" fontId="1" fillId="2" borderId="0" xfId="1"/>
    <xf numFmtId="0" fontId="0" fillId="0" borderId="0" xfId="0" applyAlignment="1">
      <alignment horizontal="right"/>
    </xf>
    <xf numFmtId="0" fontId="2" fillId="3" borderId="0" xfId="2" applyAlignment="1">
      <alignment horizontal="justify"/>
    </xf>
    <xf numFmtId="0" fontId="2" fillId="3" borderId="0" xfId="2" applyAlignment="1">
      <alignment horizontal="right"/>
    </xf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Lead</a:t>
            </a:r>
            <a:r>
              <a:rPr lang="en-IN" baseline="0"/>
              <a:t> Times</a:t>
            </a:r>
            <a:endParaRPr lang="en-IN"/>
          </a:p>
        </c:rich>
      </c:tx>
      <c:layout>
        <c:manualLayout>
          <c:xMode val="edge"/>
          <c:yMode val="edge"/>
          <c:x val="0.33727077865266841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Sheet1!$D$4:$D$11</c:f>
              <c:numCache>
                <c:formatCode>General</c:formatCode>
                <c:ptCount val="8"/>
                <c:pt idx="0">
                  <c:v>12</c:v>
                </c:pt>
                <c:pt idx="1">
                  <c:v>12</c:v>
                </c:pt>
                <c:pt idx="2">
                  <c:v>10</c:v>
                </c:pt>
                <c:pt idx="3">
                  <c:v>12</c:v>
                </c:pt>
                <c:pt idx="4">
                  <c:v>10</c:v>
                </c:pt>
                <c:pt idx="5">
                  <c:v>12</c:v>
                </c:pt>
                <c:pt idx="6">
                  <c:v>11</c:v>
                </c:pt>
                <c:pt idx="7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65008816"/>
        <c:axId val="-865008272"/>
      </c:barChart>
      <c:catAx>
        <c:axId val="-865008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65008272"/>
        <c:crosses val="autoZero"/>
        <c:auto val="1"/>
        <c:lblAlgn val="ctr"/>
        <c:lblOffset val="100"/>
        <c:noMultiLvlLbl val="0"/>
      </c:catAx>
      <c:valAx>
        <c:axId val="-86500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6500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632460</xdr:colOff>
          <xdr:row>12</xdr:row>
          <xdr:rowOff>175260</xdr:rowOff>
        </xdr:from>
        <xdr:to>
          <xdr:col>4</xdr:col>
          <xdr:colOff>60960</xdr:colOff>
          <xdr:row>15</xdr:row>
          <xdr:rowOff>0</xdr:rowOff>
        </xdr:to>
        <xdr:sp macro="" textlink="">
          <xdr:nvSpPr>
            <xdr:cNvPr id="1025" name="Randomiz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16</xdr:row>
          <xdr:rowOff>22860</xdr:rowOff>
        </xdr:from>
        <xdr:to>
          <xdr:col>4</xdr:col>
          <xdr:colOff>60960</xdr:colOff>
          <xdr:row>18</xdr:row>
          <xdr:rowOff>22860</xdr:rowOff>
        </xdr:to>
        <xdr:sp macro="" textlink="">
          <xdr:nvSpPr>
            <xdr:cNvPr id="1026" name="Calc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190500</xdr:colOff>
      <xdr:row>13</xdr:row>
      <xdr:rowOff>7620</xdr:rowOff>
    </xdr:from>
    <xdr:to>
      <xdr:col>12</xdr:col>
      <xdr:colOff>7620</xdr:colOff>
      <xdr:row>28</xdr:row>
      <xdr:rowOff>7620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68580</xdr:rowOff>
        </xdr:from>
        <xdr:to>
          <xdr:col>8</xdr:col>
          <xdr:colOff>45720</xdr:colOff>
          <xdr:row>19</xdr:row>
          <xdr:rowOff>175260</xdr:rowOff>
        </xdr:to>
        <xdr:sp macro="" textlink="">
          <xdr:nvSpPr>
            <xdr:cNvPr id="2049" name="Fill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20</xdr:row>
          <xdr:rowOff>99060</xdr:rowOff>
        </xdr:from>
        <xdr:to>
          <xdr:col>8</xdr:col>
          <xdr:colOff>45720</xdr:colOff>
          <xdr:row>22</xdr:row>
          <xdr:rowOff>38100</xdr:rowOff>
        </xdr:to>
        <xdr:sp macro="" textlink="">
          <xdr:nvSpPr>
            <xdr:cNvPr id="2050" name="CalcProfi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10</xdr:row>
          <xdr:rowOff>7620</xdr:rowOff>
        </xdr:from>
        <xdr:to>
          <xdr:col>12</xdr:col>
          <xdr:colOff>2301240</xdr:colOff>
          <xdr:row>11</xdr:row>
          <xdr:rowOff>167640</xdr:rowOff>
        </xdr:to>
        <xdr:sp macro="" textlink="">
          <xdr:nvSpPr>
            <xdr:cNvPr id="3073" name="Getstandia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434340</xdr:colOff>
          <xdr:row>13</xdr:row>
          <xdr:rowOff>30480</xdr:rowOff>
        </xdr:from>
        <xdr:to>
          <xdr:col>12</xdr:col>
          <xdr:colOff>2301240</xdr:colOff>
          <xdr:row>14</xdr:row>
          <xdr:rowOff>167640</xdr:rowOff>
        </xdr:to>
        <xdr:sp macro="" textlink="">
          <xdr:nvSpPr>
            <xdr:cNvPr id="3074" name="calcw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1"/>
  <sheetViews>
    <sheetView workbookViewId="0">
      <selection activeCell="E7" sqref="E7"/>
    </sheetView>
  </sheetViews>
  <sheetFormatPr defaultRowHeight="14.4" x14ac:dyDescent="0.3"/>
  <cols>
    <col min="1" max="1" width="12.109375" customWidth="1"/>
    <col min="2" max="2" width="12.77734375" customWidth="1"/>
    <col min="3" max="3" width="15.21875" customWidth="1"/>
    <col min="4" max="4" width="11" customWidth="1"/>
    <col min="6" max="6" width="15.6640625" customWidth="1"/>
    <col min="8" max="8" width="5.33203125" customWidth="1"/>
    <col min="9" max="9" width="14.109375" customWidth="1"/>
    <col min="10" max="10" width="11" customWidth="1"/>
    <col min="11" max="11" width="13.88671875" customWidth="1"/>
    <col min="12" max="12" width="16.109375" customWidth="1"/>
  </cols>
  <sheetData>
    <row r="1" spans="1:12" x14ac:dyDescent="0.3">
      <c r="A1" s="4" t="s">
        <v>0</v>
      </c>
      <c r="B1" s="4" t="s">
        <v>1</v>
      </c>
      <c r="C1" s="4" t="s">
        <v>2</v>
      </c>
      <c r="D1" s="4" t="s">
        <v>17</v>
      </c>
      <c r="F1" s="5" t="s">
        <v>3</v>
      </c>
      <c r="G1" t="s">
        <v>4</v>
      </c>
    </row>
    <row r="2" spans="1:12" x14ac:dyDescent="0.3">
      <c r="A2">
        <v>1</v>
      </c>
      <c r="B2">
        <v>4</v>
      </c>
      <c r="C2">
        <v>16</v>
      </c>
      <c r="D2">
        <v>13</v>
      </c>
      <c r="F2" t="s">
        <v>5</v>
      </c>
      <c r="I2" s="4" t="s">
        <v>1</v>
      </c>
      <c r="J2" s="4" t="s">
        <v>6</v>
      </c>
      <c r="K2" s="4" t="s">
        <v>7</v>
      </c>
      <c r="L2" s="4" t="s">
        <v>8</v>
      </c>
    </row>
    <row r="3" spans="1:12" x14ac:dyDescent="0.3">
      <c r="A3">
        <v>2</v>
      </c>
      <c r="B3">
        <v>5</v>
      </c>
      <c r="C3">
        <v>16</v>
      </c>
      <c r="D3">
        <v>11</v>
      </c>
      <c r="I3">
        <v>3</v>
      </c>
      <c r="J3">
        <v>0.15</v>
      </c>
      <c r="K3">
        <v>0.15</v>
      </c>
      <c r="L3" s="1" t="s">
        <v>9</v>
      </c>
    </row>
    <row r="4" spans="1:12" x14ac:dyDescent="0.3">
      <c r="A4">
        <v>3</v>
      </c>
      <c r="B4">
        <v>5</v>
      </c>
      <c r="C4">
        <v>16</v>
      </c>
      <c r="D4">
        <v>12</v>
      </c>
      <c r="I4">
        <v>4</v>
      </c>
      <c r="J4">
        <v>0.35</v>
      </c>
      <c r="K4">
        <v>0.5</v>
      </c>
      <c r="L4" s="2" t="s">
        <v>10</v>
      </c>
    </row>
    <row r="5" spans="1:12" x14ac:dyDescent="0.3">
      <c r="A5">
        <v>4</v>
      </c>
      <c r="B5">
        <v>4</v>
      </c>
      <c r="C5">
        <v>16</v>
      </c>
      <c r="D5">
        <v>12</v>
      </c>
      <c r="I5">
        <v>5</v>
      </c>
      <c r="J5">
        <v>0.4</v>
      </c>
      <c r="K5">
        <v>0.9</v>
      </c>
      <c r="L5" s="2" t="s">
        <v>11</v>
      </c>
    </row>
    <row r="6" spans="1:12" x14ac:dyDescent="0.3">
      <c r="A6">
        <v>5</v>
      </c>
      <c r="B6">
        <v>3</v>
      </c>
      <c r="C6">
        <v>16</v>
      </c>
      <c r="D6">
        <v>10</v>
      </c>
      <c r="I6">
        <v>6</v>
      </c>
      <c r="J6">
        <v>0.1</v>
      </c>
      <c r="K6">
        <v>1</v>
      </c>
      <c r="L6" s="2" t="s">
        <v>12</v>
      </c>
    </row>
    <row r="7" spans="1:12" x14ac:dyDescent="0.3">
      <c r="A7">
        <v>6</v>
      </c>
      <c r="B7">
        <v>6</v>
      </c>
      <c r="C7">
        <v>16</v>
      </c>
      <c r="D7">
        <v>12</v>
      </c>
    </row>
    <row r="8" spans="1:12" x14ac:dyDescent="0.3">
      <c r="A8">
        <v>7</v>
      </c>
      <c r="B8">
        <v>5</v>
      </c>
      <c r="C8">
        <v>16</v>
      </c>
      <c r="D8">
        <v>10</v>
      </c>
      <c r="I8" s="4" t="s">
        <v>2</v>
      </c>
      <c r="J8" s="4" t="s">
        <v>6</v>
      </c>
      <c r="K8" s="4" t="s">
        <v>7</v>
      </c>
      <c r="L8" s="4" t="s">
        <v>8</v>
      </c>
    </row>
    <row r="9" spans="1:12" x14ac:dyDescent="0.3">
      <c r="A9">
        <v>8</v>
      </c>
      <c r="B9">
        <v>4</v>
      </c>
      <c r="C9">
        <v>18</v>
      </c>
      <c r="D9">
        <v>12</v>
      </c>
      <c r="I9">
        <v>15</v>
      </c>
      <c r="J9">
        <v>0.2</v>
      </c>
      <c r="K9">
        <v>0.2</v>
      </c>
      <c r="L9" s="1" t="s">
        <v>13</v>
      </c>
    </row>
    <row r="10" spans="1:12" x14ac:dyDescent="0.3">
      <c r="A10">
        <v>9</v>
      </c>
      <c r="B10">
        <v>5</v>
      </c>
      <c r="C10">
        <v>17</v>
      </c>
      <c r="D10">
        <v>11</v>
      </c>
      <c r="I10">
        <v>16</v>
      </c>
      <c r="J10">
        <v>0.4</v>
      </c>
      <c r="K10">
        <v>0.6</v>
      </c>
      <c r="L10" s="2" t="s">
        <v>14</v>
      </c>
    </row>
    <row r="11" spans="1:12" x14ac:dyDescent="0.3">
      <c r="A11">
        <v>10</v>
      </c>
      <c r="B11">
        <v>4</v>
      </c>
      <c r="C11">
        <v>15</v>
      </c>
      <c r="D11">
        <v>12</v>
      </c>
      <c r="I11">
        <v>17</v>
      </c>
      <c r="J11">
        <v>0.25</v>
      </c>
      <c r="K11">
        <v>0.85</v>
      </c>
      <c r="L11" s="2" t="s">
        <v>15</v>
      </c>
    </row>
    <row r="12" spans="1:12" x14ac:dyDescent="0.3">
      <c r="C12" t="s">
        <v>40</v>
      </c>
      <c r="D12">
        <f>AVERAGE(D2:D11)</f>
        <v>11.5</v>
      </c>
      <c r="I12">
        <v>18</v>
      </c>
      <c r="J12">
        <v>0.15</v>
      </c>
      <c r="K12">
        <v>1</v>
      </c>
      <c r="L12" s="2" t="s">
        <v>16</v>
      </c>
    </row>
    <row r="20" spans="1:1" x14ac:dyDescent="0.3">
      <c r="A20" s="5" t="s">
        <v>18</v>
      </c>
    </row>
    <row r="21" spans="1:1" x14ac:dyDescent="0.3">
      <c r="A21" s="3" t="s">
        <v>19</v>
      </c>
    </row>
  </sheetData>
  <pageMargins left="0.7" right="0.7" top="0.75" bottom="0.75" header="0.3" footer="0.3"/>
  <pageSetup orientation="portrait" horizontalDpi="4294967294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Randomize">
          <controlPr defaultSize="0" autoLine="0" r:id="rId5">
            <anchor moveWithCells="1">
              <from>
                <xdr:col>2</xdr:col>
                <xdr:colOff>632460</xdr:colOff>
                <xdr:row>12</xdr:row>
                <xdr:rowOff>175260</xdr:rowOff>
              </from>
              <to>
                <xdr:col>4</xdr:col>
                <xdr:colOff>60960</xdr:colOff>
                <xdr:row>15</xdr:row>
                <xdr:rowOff>0</xdr:rowOff>
              </to>
            </anchor>
          </controlPr>
        </control>
      </mc:Choice>
      <mc:Fallback>
        <control shapeId="1025" r:id="rId4" name="Randomize"/>
      </mc:Fallback>
    </mc:AlternateContent>
    <mc:AlternateContent xmlns:mc="http://schemas.openxmlformats.org/markup-compatibility/2006">
      <mc:Choice Requires="x14">
        <control shapeId="1026" r:id="rId6" name="Calc">
          <controlPr defaultSize="0" autoLine="0" r:id="rId7">
            <anchor moveWithCells="1">
              <from>
                <xdr:col>2</xdr:col>
                <xdr:colOff>609600</xdr:colOff>
                <xdr:row>16</xdr:row>
                <xdr:rowOff>22860</xdr:rowOff>
              </from>
              <to>
                <xdr:col>4</xdr:col>
                <xdr:colOff>60960</xdr:colOff>
                <xdr:row>18</xdr:row>
                <xdr:rowOff>22860</xdr:rowOff>
              </to>
            </anchor>
          </controlPr>
        </control>
      </mc:Choice>
      <mc:Fallback>
        <control shapeId="1026" r:id="rId6" name="Cal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7"/>
  <sheetViews>
    <sheetView workbookViewId="0">
      <selection activeCell="E2" sqref="E2"/>
    </sheetView>
  </sheetViews>
  <sheetFormatPr defaultRowHeight="14.4" x14ac:dyDescent="0.3"/>
  <cols>
    <col min="2" max="2" width="8.6640625" customWidth="1"/>
    <col min="8" max="8" width="8.77734375" customWidth="1"/>
    <col min="9" max="9" width="10.109375" customWidth="1"/>
    <col min="10" max="10" width="35.21875" customWidth="1"/>
    <col min="11" max="11" width="16.5546875" customWidth="1"/>
    <col min="12" max="12" width="16.44140625" customWidth="1"/>
    <col min="13" max="13" width="11.5546875" customWidth="1"/>
    <col min="14" max="14" width="19.44140625" customWidth="1"/>
    <col min="15" max="15" width="18" customWidth="1"/>
  </cols>
  <sheetData>
    <row r="1" spans="1:15" ht="43.8" customHeight="1" x14ac:dyDescent="0.3">
      <c r="A1" s="4" t="s">
        <v>33</v>
      </c>
      <c r="B1" s="7" t="s">
        <v>34</v>
      </c>
      <c r="C1" s="7" t="s">
        <v>35</v>
      </c>
      <c r="D1" s="7" t="s">
        <v>36</v>
      </c>
      <c r="E1" s="7" t="s">
        <v>37</v>
      </c>
      <c r="F1" s="7" t="s">
        <v>38</v>
      </c>
      <c r="G1" s="7" t="s">
        <v>41</v>
      </c>
      <c r="H1" s="7" t="s">
        <v>39</v>
      </c>
      <c r="J1" s="5" t="s">
        <v>20</v>
      </c>
      <c r="L1" s="4" t="s">
        <v>23</v>
      </c>
      <c r="M1" s="4" t="s">
        <v>6</v>
      </c>
      <c r="N1" s="4" t="s">
        <v>27</v>
      </c>
      <c r="O1" s="4" t="s">
        <v>28</v>
      </c>
    </row>
    <row r="2" spans="1:15" x14ac:dyDescent="0.3">
      <c r="A2">
        <v>1</v>
      </c>
      <c r="B2">
        <v>30</v>
      </c>
      <c r="C2" t="s">
        <v>24</v>
      </c>
      <c r="D2">
        <v>80</v>
      </c>
      <c r="E2">
        <v>90</v>
      </c>
      <c r="F2">
        <v>45</v>
      </c>
      <c r="G2">
        <v>29.700000000000003</v>
      </c>
      <c r="H2">
        <v>15.299999999999997</v>
      </c>
      <c r="J2" t="s">
        <v>21</v>
      </c>
      <c r="L2" t="s">
        <v>24</v>
      </c>
      <c r="M2">
        <v>0.35</v>
      </c>
      <c r="N2">
        <v>0.35</v>
      </c>
      <c r="O2" s="6" t="s">
        <v>29</v>
      </c>
    </row>
    <row r="3" spans="1:15" x14ac:dyDescent="0.3">
      <c r="A3">
        <v>2</v>
      </c>
      <c r="B3">
        <v>49</v>
      </c>
      <c r="C3" t="s">
        <v>25</v>
      </c>
      <c r="D3">
        <v>24</v>
      </c>
      <c r="E3">
        <v>50</v>
      </c>
      <c r="F3">
        <v>25</v>
      </c>
      <c r="G3">
        <v>16.5</v>
      </c>
      <c r="H3">
        <v>8.5</v>
      </c>
      <c r="J3" t="s">
        <v>22</v>
      </c>
      <c r="L3" t="s">
        <v>25</v>
      </c>
      <c r="M3">
        <v>0.45</v>
      </c>
      <c r="N3">
        <v>0.8</v>
      </c>
      <c r="O3" s="6" t="s">
        <v>30</v>
      </c>
    </row>
    <row r="4" spans="1:15" x14ac:dyDescent="0.3">
      <c r="A4">
        <v>3</v>
      </c>
      <c r="B4">
        <v>35</v>
      </c>
      <c r="C4" t="s">
        <v>24</v>
      </c>
      <c r="D4">
        <v>26</v>
      </c>
      <c r="E4">
        <v>70</v>
      </c>
      <c r="F4">
        <v>35</v>
      </c>
      <c r="G4">
        <v>23.1</v>
      </c>
      <c r="H4">
        <v>11.899999999999999</v>
      </c>
      <c r="L4" t="s">
        <v>26</v>
      </c>
      <c r="M4">
        <v>0.2</v>
      </c>
      <c r="N4">
        <v>1</v>
      </c>
      <c r="O4" s="6" t="s">
        <v>31</v>
      </c>
    </row>
    <row r="5" spans="1:15" x14ac:dyDescent="0.3">
      <c r="A5">
        <v>4</v>
      </c>
      <c r="B5">
        <v>49</v>
      </c>
      <c r="C5" t="s">
        <v>25</v>
      </c>
      <c r="D5">
        <v>5</v>
      </c>
      <c r="E5">
        <v>40</v>
      </c>
      <c r="F5">
        <v>20</v>
      </c>
      <c r="G5">
        <v>13.200000000000001</v>
      </c>
      <c r="H5">
        <v>6.7999999999999989</v>
      </c>
    </row>
    <row r="6" spans="1:15" x14ac:dyDescent="0.3">
      <c r="A6">
        <v>5</v>
      </c>
      <c r="B6">
        <v>87</v>
      </c>
      <c r="C6" t="s">
        <v>26</v>
      </c>
      <c r="D6">
        <v>21</v>
      </c>
      <c r="E6">
        <v>40</v>
      </c>
      <c r="F6">
        <v>20</v>
      </c>
      <c r="G6">
        <v>13.200000000000001</v>
      </c>
      <c r="H6">
        <v>6.7999999999999989</v>
      </c>
      <c r="J6" t="s">
        <v>32</v>
      </c>
    </row>
    <row r="7" spans="1:15" x14ac:dyDescent="0.3">
      <c r="A7">
        <v>6</v>
      </c>
      <c r="B7">
        <v>76</v>
      </c>
      <c r="C7" t="s">
        <v>25</v>
      </c>
      <c r="D7">
        <v>59</v>
      </c>
      <c r="E7">
        <v>60</v>
      </c>
      <c r="F7">
        <v>30</v>
      </c>
      <c r="G7">
        <v>19.8</v>
      </c>
      <c r="H7">
        <v>10.199999999999999</v>
      </c>
    </row>
    <row r="8" spans="1:15" x14ac:dyDescent="0.3">
      <c r="A8">
        <v>7</v>
      </c>
      <c r="B8">
        <v>34</v>
      </c>
      <c r="C8" t="s">
        <v>24</v>
      </c>
      <c r="D8">
        <v>93</v>
      </c>
      <c r="E8">
        <v>90</v>
      </c>
      <c r="F8">
        <v>45</v>
      </c>
      <c r="G8">
        <v>29.700000000000003</v>
      </c>
      <c r="H8">
        <v>15.299999999999997</v>
      </c>
    </row>
    <row r="9" spans="1:15" x14ac:dyDescent="0.3">
      <c r="A9">
        <v>8</v>
      </c>
      <c r="B9">
        <v>9</v>
      </c>
      <c r="C9" t="s">
        <v>24</v>
      </c>
      <c r="D9">
        <v>55</v>
      </c>
      <c r="E9">
        <v>80</v>
      </c>
      <c r="F9">
        <v>40</v>
      </c>
      <c r="G9">
        <v>26.400000000000002</v>
      </c>
      <c r="H9">
        <v>13.599999999999998</v>
      </c>
    </row>
    <row r="10" spans="1:15" x14ac:dyDescent="0.3">
      <c r="A10">
        <v>9</v>
      </c>
      <c r="B10">
        <v>42</v>
      </c>
      <c r="C10" t="s">
        <v>25</v>
      </c>
      <c r="D10">
        <v>64</v>
      </c>
      <c r="E10">
        <v>60</v>
      </c>
      <c r="F10">
        <v>30</v>
      </c>
      <c r="G10">
        <v>19.8</v>
      </c>
      <c r="H10">
        <v>10.199999999999999</v>
      </c>
    </row>
    <row r="11" spans="1:15" x14ac:dyDescent="0.3">
      <c r="A11">
        <v>10</v>
      </c>
      <c r="B11">
        <v>12</v>
      </c>
      <c r="C11" t="s">
        <v>24</v>
      </c>
      <c r="D11">
        <v>97</v>
      </c>
      <c r="E11">
        <v>100</v>
      </c>
      <c r="F11">
        <v>50</v>
      </c>
      <c r="G11">
        <v>33</v>
      </c>
      <c r="H11">
        <v>17</v>
      </c>
    </row>
    <row r="12" spans="1:15" x14ac:dyDescent="0.3">
      <c r="A12">
        <v>11</v>
      </c>
      <c r="B12">
        <v>63</v>
      </c>
      <c r="C12" t="s">
        <v>25</v>
      </c>
      <c r="D12">
        <v>93</v>
      </c>
      <c r="E12">
        <v>80</v>
      </c>
      <c r="F12">
        <v>40</v>
      </c>
      <c r="G12">
        <v>26.400000000000002</v>
      </c>
      <c r="H12">
        <v>13.599999999999998</v>
      </c>
    </row>
    <row r="13" spans="1:15" x14ac:dyDescent="0.3">
      <c r="A13">
        <v>12</v>
      </c>
      <c r="B13">
        <v>15</v>
      </c>
      <c r="C13" t="s">
        <v>24</v>
      </c>
      <c r="D13">
        <v>35</v>
      </c>
      <c r="E13">
        <v>70</v>
      </c>
      <c r="F13">
        <v>35</v>
      </c>
      <c r="G13">
        <v>23.1</v>
      </c>
      <c r="H13">
        <v>11.899999999999999</v>
      </c>
    </row>
    <row r="14" spans="1:15" x14ac:dyDescent="0.3">
      <c r="A14">
        <v>13</v>
      </c>
      <c r="B14">
        <v>22</v>
      </c>
      <c r="C14" t="s">
        <v>24</v>
      </c>
      <c r="D14">
        <v>48</v>
      </c>
      <c r="E14">
        <v>80</v>
      </c>
      <c r="F14">
        <v>40</v>
      </c>
      <c r="G14">
        <v>26.400000000000002</v>
      </c>
      <c r="H14">
        <v>13.599999999999998</v>
      </c>
    </row>
    <row r="15" spans="1:15" x14ac:dyDescent="0.3">
      <c r="A15">
        <v>14</v>
      </c>
      <c r="B15">
        <v>14</v>
      </c>
      <c r="C15" t="s">
        <v>24</v>
      </c>
      <c r="D15">
        <v>100</v>
      </c>
      <c r="E15">
        <v>100</v>
      </c>
      <c r="F15">
        <v>50</v>
      </c>
      <c r="G15">
        <v>33</v>
      </c>
      <c r="H15">
        <v>17</v>
      </c>
    </row>
    <row r="16" spans="1:15" x14ac:dyDescent="0.3">
      <c r="A16">
        <v>15</v>
      </c>
      <c r="B16">
        <v>35</v>
      </c>
      <c r="C16" t="s">
        <v>24</v>
      </c>
      <c r="D16">
        <v>3</v>
      </c>
      <c r="E16">
        <v>40</v>
      </c>
      <c r="F16">
        <v>20</v>
      </c>
      <c r="G16">
        <v>13.200000000000001</v>
      </c>
      <c r="H16">
        <v>6.7999999999999989</v>
      </c>
    </row>
    <row r="17" spans="6:8" x14ac:dyDescent="0.3">
      <c r="F17">
        <f>SUM(F2:F16)</f>
        <v>525</v>
      </c>
      <c r="G17">
        <f>SUM(G2:G16)</f>
        <v>346.5</v>
      </c>
      <c r="H17">
        <f>SUM(H2:H16)</f>
        <v>178.5</v>
      </c>
    </row>
  </sheetData>
  <pageMargins left="0.7" right="0.7" top="0.75" bottom="0.75" header="0.3" footer="0.3"/>
  <pageSetup orientation="portrait" horizontalDpi="4294967294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alcProfit">
          <controlPr defaultSize="0" autoLine="0" r:id="rId5">
            <anchor moveWithCells="1">
              <from>
                <xdr:col>5</xdr:col>
                <xdr:colOff>594360</xdr:colOff>
                <xdr:row>20</xdr:row>
                <xdr:rowOff>99060</xdr:rowOff>
              </from>
              <to>
                <xdr:col>8</xdr:col>
                <xdr:colOff>45720</xdr:colOff>
                <xdr:row>22</xdr:row>
                <xdr:rowOff>38100</xdr:rowOff>
              </to>
            </anchor>
          </controlPr>
        </control>
      </mc:Choice>
      <mc:Fallback>
        <control shapeId="2050" r:id="rId4" name="CalcProfit"/>
      </mc:Fallback>
    </mc:AlternateContent>
    <mc:AlternateContent xmlns:mc="http://schemas.openxmlformats.org/markup-compatibility/2006">
      <mc:Choice Requires="x14">
        <control shapeId="2049" r:id="rId6" name="Fillin">
          <controlPr defaultSize="0" autoLine="0" r:id="rId7">
            <anchor moveWithCells="1">
              <from>
                <xdr:col>6</xdr:col>
                <xdr:colOff>0</xdr:colOff>
                <xdr:row>18</xdr:row>
                <xdr:rowOff>68580</xdr:rowOff>
              </from>
              <to>
                <xdr:col>8</xdr:col>
                <xdr:colOff>45720</xdr:colOff>
                <xdr:row>19</xdr:row>
                <xdr:rowOff>175260</xdr:rowOff>
              </to>
            </anchor>
          </controlPr>
        </control>
      </mc:Choice>
      <mc:Fallback>
        <control shapeId="2049" r:id="rId6" name="Fill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27"/>
  <sheetViews>
    <sheetView tabSelected="1" workbookViewId="0">
      <selection activeCell="M26" sqref="M26"/>
    </sheetView>
  </sheetViews>
  <sheetFormatPr defaultRowHeight="14.4" x14ac:dyDescent="0.3"/>
  <cols>
    <col min="1" max="1" width="10.77734375" customWidth="1"/>
    <col min="10" max="10" width="10.44140625" customWidth="1"/>
    <col min="13" max="13" width="38" customWidth="1"/>
    <col min="14" max="14" width="13.21875" customWidth="1"/>
    <col min="15" max="15" width="12.21875" customWidth="1"/>
    <col min="16" max="16" width="15.33203125" customWidth="1"/>
    <col min="17" max="17" width="11.21875" customWidth="1"/>
  </cols>
  <sheetData>
    <row r="1" spans="1:17" ht="42.6" customHeight="1" x14ac:dyDescent="0.3">
      <c r="A1" s="7" t="s">
        <v>55</v>
      </c>
      <c r="B1" s="7" t="s">
        <v>56</v>
      </c>
      <c r="C1" s="7" t="s">
        <v>57</v>
      </c>
      <c r="D1" s="7" t="s">
        <v>58</v>
      </c>
      <c r="E1" s="7" t="s">
        <v>46</v>
      </c>
      <c r="F1" s="7" t="s">
        <v>67</v>
      </c>
      <c r="G1" s="7" t="s">
        <v>62</v>
      </c>
      <c r="H1" s="7" t="s">
        <v>63</v>
      </c>
      <c r="I1" s="7" t="s">
        <v>59</v>
      </c>
      <c r="J1" s="7" t="s">
        <v>60</v>
      </c>
      <c r="K1" s="7" t="s">
        <v>61</v>
      </c>
      <c r="M1" s="5" t="s">
        <v>42</v>
      </c>
      <c r="N1" s="8" t="s">
        <v>46</v>
      </c>
      <c r="O1" s="8" t="s">
        <v>47</v>
      </c>
      <c r="P1" s="8" t="s">
        <v>48</v>
      </c>
      <c r="Q1" s="8" t="s">
        <v>49</v>
      </c>
    </row>
    <row r="2" spans="1:17" x14ac:dyDescent="0.3">
      <c r="A2">
        <v>1</v>
      </c>
      <c r="B2">
        <v>694</v>
      </c>
      <c r="C2">
        <v>6</v>
      </c>
      <c r="D2">
        <v>57</v>
      </c>
      <c r="E2">
        <v>3</v>
      </c>
      <c r="F2">
        <v>0</v>
      </c>
      <c r="G2">
        <v>0</v>
      </c>
      <c r="H2">
        <f>G2+E2</f>
        <v>3</v>
      </c>
      <c r="I2">
        <f>G2-F2</f>
        <v>0</v>
      </c>
      <c r="J2">
        <f>I2</f>
        <v>0</v>
      </c>
      <c r="K2">
        <v>0</v>
      </c>
      <c r="M2" t="s">
        <v>43</v>
      </c>
      <c r="N2">
        <v>1</v>
      </c>
      <c r="O2">
        <v>0.1</v>
      </c>
      <c r="P2">
        <v>0.1</v>
      </c>
      <c r="Q2" s="6" t="s">
        <v>50</v>
      </c>
    </row>
    <row r="3" spans="1:17" x14ac:dyDescent="0.3">
      <c r="A3">
        <v>2</v>
      </c>
      <c r="B3">
        <v>834</v>
      </c>
      <c r="C3">
        <v>7</v>
      </c>
      <c r="D3">
        <v>92</v>
      </c>
      <c r="E3">
        <v>5</v>
      </c>
      <c r="F3">
        <f>C2+F2</f>
        <v>6</v>
      </c>
      <c r="G3">
        <f>MAX(H2,F3)</f>
        <v>6</v>
      </c>
      <c r="H3">
        <f t="shared" ref="H3:H21" si="0">G3+E3</f>
        <v>11</v>
      </c>
      <c r="I3">
        <f t="shared" ref="I3:I21" si="1">G3-F3</f>
        <v>0</v>
      </c>
      <c r="J3">
        <f>I3+J2</f>
        <v>0</v>
      </c>
      <c r="K3">
        <v>0</v>
      </c>
      <c r="M3" t="s">
        <v>45</v>
      </c>
      <c r="N3">
        <v>2</v>
      </c>
      <c r="O3">
        <v>0.2</v>
      </c>
      <c r="P3">
        <v>0.3</v>
      </c>
      <c r="Q3" s="6" t="s">
        <v>51</v>
      </c>
    </row>
    <row r="4" spans="1:17" x14ac:dyDescent="0.3">
      <c r="A4">
        <v>3</v>
      </c>
      <c r="B4">
        <v>543</v>
      </c>
      <c r="C4">
        <v>5</v>
      </c>
      <c r="D4">
        <v>3</v>
      </c>
      <c r="E4">
        <v>1</v>
      </c>
      <c r="F4">
        <f t="shared" ref="F4:F21" si="2">C3+F3</f>
        <v>13</v>
      </c>
      <c r="G4">
        <f t="shared" ref="G4:G20" si="3">MAX(H3,F4)</f>
        <v>13</v>
      </c>
      <c r="H4">
        <f t="shared" si="0"/>
        <v>14</v>
      </c>
      <c r="I4">
        <f t="shared" si="1"/>
        <v>0</v>
      </c>
      <c r="J4">
        <f t="shared" ref="J4:J21" si="4">I4+J3</f>
        <v>0</v>
      </c>
      <c r="K4">
        <v>0</v>
      </c>
      <c r="M4" t="s">
        <v>44</v>
      </c>
      <c r="N4">
        <v>3</v>
      </c>
      <c r="O4">
        <v>0.3</v>
      </c>
      <c r="P4">
        <v>0.6</v>
      </c>
      <c r="Q4" s="6" t="s">
        <v>52</v>
      </c>
    </row>
    <row r="5" spans="1:17" x14ac:dyDescent="0.3">
      <c r="A5">
        <v>4</v>
      </c>
      <c r="B5">
        <v>430</v>
      </c>
      <c r="C5">
        <v>4</v>
      </c>
      <c r="D5">
        <v>92</v>
      </c>
      <c r="E5">
        <v>5</v>
      </c>
      <c r="F5">
        <f t="shared" si="2"/>
        <v>18</v>
      </c>
      <c r="G5">
        <f t="shared" si="3"/>
        <v>18</v>
      </c>
      <c r="H5">
        <f t="shared" si="0"/>
        <v>23</v>
      </c>
      <c r="I5">
        <f t="shared" si="1"/>
        <v>0</v>
      </c>
      <c r="J5">
        <f t="shared" si="4"/>
        <v>0</v>
      </c>
      <c r="K5">
        <v>0</v>
      </c>
      <c r="N5">
        <v>4</v>
      </c>
      <c r="O5">
        <v>0.25</v>
      </c>
      <c r="P5">
        <v>0.85</v>
      </c>
      <c r="Q5" s="6" t="s">
        <v>15</v>
      </c>
    </row>
    <row r="6" spans="1:17" x14ac:dyDescent="0.3">
      <c r="A6">
        <v>5</v>
      </c>
      <c r="B6">
        <v>502</v>
      </c>
      <c r="C6">
        <v>5</v>
      </c>
      <c r="D6">
        <v>68</v>
      </c>
      <c r="E6">
        <v>4</v>
      </c>
      <c r="F6">
        <f t="shared" si="2"/>
        <v>22</v>
      </c>
      <c r="G6">
        <f t="shared" si="3"/>
        <v>23</v>
      </c>
      <c r="H6">
        <f t="shared" si="0"/>
        <v>27</v>
      </c>
      <c r="I6">
        <f t="shared" si="1"/>
        <v>1</v>
      </c>
      <c r="J6">
        <f t="shared" si="4"/>
        <v>1</v>
      </c>
      <c r="K6">
        <v>0.2</v>
      </c>
      <c r="N6">
        <v>5</v>
      </c>
      <c r="O6">
        <v>0.1</v>
      </c>
      <c r="P6">
        <v>0.95</v>
      </c>
      <c r="Q6" s="6" t="s">
        <v>53</v>
      </c>
    </row>
    <row r="7" spans="1:17" x14ac:dyDescent="0.3">
      <c r="A7">
        <v>6</v>
      </c>
      <c r="B7">
        <v>463</v>
      </c>
      <c r="C7">
        <v>4</v>
      </c>
      <c r="D7">
        <v>52</v>
      </c>
      <c r="E7">
        <v>3</v>
      </c>
      <c r="F7">
        <f t="shared" si="2"/>
        <v>27</v>
      </c>
      <c r="G7">
        <f t="shared" si="3"/>
        <v>27</v>
      </c>
      <c r="H7">
        <f t="shared" si="0"/>
        <v>30</v>
      </c>
      <c r="I7">
        <f t="shared" si="1"/>
        <v>0</v>
      </c>
      <c r="J7">
        <f t="shared" si="4"/>
        <v>1</v>
      </c>
      <c r="K7">
        <v>0.16666666666666666</v>
      </c>
      <c r="N7">
        <v>6</v>
      </c>
      <c r="O7">
        <v>0.05</v>
      </c>
      <c r="P7">
        <v>1</v>
      </c>
      <c r="Q7" s="6" t="s">
        <v>54</v>
      </c>
    </row>
    <row r="8" spans="1:17" x14ac:dyDescent="0.3">
      <c r="A8">
        <v>7</v>
      </c>
      <c r="B8">
        <v>405</v>
      </c>
      <c r="C8">
        <v>4</v>
      </c>
      <c r="D8">
        <v>36</v>
      </c>
      <c r="E8">
        <v>3</v>
      </c>
      <c r="F8">
        <f t="shared" si="2"/>
        <v>31</v>
      </c>
      <c r="G8">
        <f t="shared" si="3"/>
        <v>31</v>
      </c>
      <c r="H8">
        <f t="shared" si="0"/>
        <v>34</v>
      </c>
      <c r="I8">
        <f t="shared" si="1"/>
        <v>0</v>
      </c>
      <c r="J8">
        <f t="shared" si="4"/>
        <v>1</v>
      </c>
      <c r="K8">
        <v>0.14285714285714285</v>
      </c>
    </row>
    <row r="9" spans="1:17" x14ac:dyDescent="0.3">
      <c r="A9">
        <v>8</v>
      </c>
      <c r="B9">
        <v>56</v>
      </c>
      <c r="C9">
        <v>1</v>
      </c>
      <c r="D9">
        <v>27</v>
      </c>
      <c r="E9">
        <v>2</v>
      </c>
      <c r="F9">
        <f t="shared" si="2"/>
        <v>35</v>
      </c>
      <c r="G9">
        <f t="shared" si="3"/>
        <v>35</v>
      </c>
      <c r="H9">
        <f t="shared" si="0"/>
        <v>37</v>
      </c>
      <c r="I9">
        <f t="shared" si="1"/>
        <v>0</v>
      </c>
      <c r="J9">
        <f t="shared" si="4"/>
        <v>1</v>
      </c>
      <c r="K9">
        <v>0.125</v>
      </c>
      <c r="N9" t="s">
        <v>64</v>
      </c>
    </row>
    <row r="10" spans="1:17" x14ac:dyDescent="0.3">
      <c r="A10">
        <v>9</v>
      </c>
      <c r="B10">
        <v>979</v>
      </c>
      <c r="C10">
        <v>8</v>
      </c>
      <c r="D10">
        <v>25</v>
      </c>
      <c r="E10">
        <v>2</v>
      </c>
      <c r="F10">
        <f t="shared" si="2"/>
        <v>36</v>
      </c>
      <c r="G10">
        <f t="shared" si="3"/>
        <v>37</v>
      </c>
      <c r="H10">
        <f t="shared" si="0"/>
        <v>39</v>
      </c>
      <c r="I10">
        <f t="shared" si="1"/>
        <v>1</v>
      </c>
      <c r="J10">
        <f t="shared" si="4"/>
        <v>2</v>
      </c>
      <c r="K10">
        <v>0.22222222222222221</v>
      </c>
      <c r="N10" t="s">
        <v>65</v>
      </c>
      <c r="O10" t="s">
        <v>66</v>
      </c>
    </row>
    <row r="11" spans="1:17" x14ac:dyDescent="0.3">
      <c r="A11">
        <v>10</v>
      </c>
      <c r="B11">
        <v>390</v>
      </c>
      <c r="C11">
        <v>4</v>
      </c>
      <c r="D11">
        <v>7</v>
      </c>
      <c r="E11">
        <v>1</v>
      </c>
      <c r="F11">
        <f t="shared" si="2"/>
        <v>44</v>
      </c>
      <c r="G11">
        <f t="shared" si="3"/>
        <v>44</v>
      </c>
      <c r="H11">
        <f t="shared" si="0"/>
        <v>45</v>
      </c>
      <c r="I11">
        <f t="shared" si="1"/>
        <v>0</v>
      </c>
      <c r="J11">
        <f t="shared" si="4"/>
        <v>2</v>
      </c>
      <c r="K11">
        <v>0.2</v>
      </c>
      <c r="N11">
        <f>0</f>
        <v>0</v>
      </c>
    </row>
    <row r="12" spans="1:17" x14ac:dyDescent="0.3">
      <c r="A12">
        <v>11</v>
      </c>
      <c r="B12">
        <v>490</v>
      </c>
      <c r="C12">
        <v>4</v>
      </c>
      <c r="D12">
        <v>37</v>
      </c>
      <c r="E12">
        <v>3</v>
      </c>
      <c r="F12">
        <f t="shared" si="2"/>
        <v>48</v>
      </c>
      <c r="G12">
        <f t="shared" si="3"/>
        <v>48</v>
      </c>
      <c r="H12">
        <f t="shared" si="0"/>
        <v>51</v>
      </c>
      <c r="I12">
        <f t="shared" si="1"/>
        <v>0</v>
      </c>
      <c r="J12">
        <f t="shared" si="4"/>
        <v>2</v>
      </c>
      <c r="K12">
        <v>0.18181818181818182</v>
      </c>
    </row>
    <row r="13" spans="1:17" x14ac:dyDescent="0.3">
      <c r="A13">
        <v>12</v>
      </c>
      <c r="B13">
        <v>474</v>
      </c>
      <c r="C13">
        <v>4</v>
      </c>
      <c r="D13">
        <v>16</v>
      </c>
      <c r="E13">
        <v>2</v>
      </c>
      <c r="F13">
        <f t="shared" si="2"/>
        <v>52</v>
      </c>
      <c r="G13">
        <f t="shared" si="3"/>
        <v>52</v>
      </c>
      <c r="H13">
        <f t="shared" si="0"/>
        <v>54</v>
      </c>
      <c r="I13">
        <f t="shared" si="1"/>
        <v>0</v>
      </c>
      <c r="J13">
        <f t="shared" si="4"/>
        <v>2</v>
      </c>
      <c r="K13">
        <v>0.16666666666666666</v>
      </c>
    </row>
    <row r="14" spans="1:17" x14ac:dyDescent="0.3">
      <c r="A14">
        <v>13</v>
      </c>
      <c r="B14">
        <v>629</v>
      </c>
      <c r="C14">
        <v>6</v>
      </c>
      <c r="D14">
        <v>26</v>
      </c>
      <c r="E14">
        <v>2</v>
      </c>
      <c r="F14">
        <f t="shared" si="2"/>
        <v>56</v>
      </c>
      <c r="G14">
        <f t="shared" si="3"/>
        <v>56</v>
      </c>
      <c r="H14">
        <f t="shared" si="0"/>
        <v>58</v>
      </c>
      <c r="I14">
        <f t="shared" si="1"/>
        <v>0</v>
      </c>
      <c r="J14">
        <f t="shared" si="4"/>
        <v>2</v>
      </c>
      <c r="K14">
        <v>0.15384615384615385</v>
      </c>
    </row>
    <row r="15" spans="1:17" x14ac:dyDescent="0.3">
      <c r="A15">
        <v>14</v>
      </c>
      <c r="B15">
        <v>157</v>
      </c>
      <c r="C15">
        <v>2</v>
      </c>
      <c r="D15">
        <v>55</v>
      </c>
      <c r="E15">
        <v>3</v>
      </c>
      <c r="F15">
        <f t="shared" si="2"/>
        <v>62</v>
      </c>
      <c r="G15">
        <f t="shared" si="3"/>
        <v>62</v>
      </c>
      <c r="H15">
        <f t="shared" si="0"/>
        <v>65</v>
      </c>
      <c r="I15">
        <f t="shared" si="1"/>
        <v>0</v>
      </c>
      <c r="J15">
        <f t="shared" si="4"/>
        <v>2</v>
      </c>
      <c r="K15">
        <v>0.14285714285714285</v>
      </c>
    </row>
    <row r="16" spans="1:17" x14ac:dyDescent="0.3">
      <c r="A16">
        <v>15</v>
      </c>
      <c r="B16">
        <v>654</v>
      </c>
      <c r="C16">
        <v>6</v>
      </c>
      <c r="D16">
        <v>94</v>
      </c>
      <c r="E16">
        <v>5</v>
      </c>
      <c r="F16">
        <f t="shared" si="2"/>
        <v>64</v>
      </c>
      <c r="G16">
        <f t="shared" si="3"/>
        <v>65</v>
      </c>
      <c r="H16">
        <f t="shared" si="0"/>
        <v>70</v>
      </c>
      <c r="I16">
        <f t="shared" si="1"/>
        <v>1</v>
      </c>
      <c r="J16">
        <f t="shared" si="4"/>
        <v>3</v>
      </c>
      <c r="K16">
        <v>0.2</v>
      </c>
      <c r="N16" s="6" t="s">
        <v>68</v>
      </c>
      <c r="O16" s="6" t="s">
        <v>69</v>
      </c>
    </row>
    <row r="17" spans="1:15" x14ac:dyDescent="0.3">
      <c r="A17">
        <v>16</v>
      </c>
      <c r="B17">
        <v>391</v>
      </c>
      <c r="C17">
        <v>4</v>
      </c>
      <c r="D17">
        <v>51</v>
      </c>
      <c r="E17">
        <v>3</v>
      </c>
      <c r="F17">
        <f t="shared" si="2"/>
        <v>70</v>
      </c>
      <c r="G17">
        <f t="shared" si="3"/>
        <v>70</v>
      </c>
      <c r="H17">
        <f t="shared" si="0"/>
        <v>73</v>
      </c>
      <c r="I17">
        <f t="shared" si="1"/>
        <v>0</v>
      </c>
      <c r="J17">
        <f t="shared" si="4"/>
        <v>3</v>
      </c>
      <c r="K17">
        <v>0.1875</v>
      </c>
      <c r="N17">
        <v>0</v>
      </c>
      <c r="O17">
        <f>FREQUENCY(K2:K21,N17:N27)</f>
        <v>4</v>
      </c>
    </row>
    <row r="18" spans="1:15" x14ac:dyDescent="0.3">
      <c r="A18">
        <v>17</v>
      </c>
      <c r="B18">
        <v>784</v>
      </c>
      <c r="C18">
        <v>7</v>
      </c>
      <c r="D18">
        <v>11</v>
      </c>
      <c r="E18">
        <v>2</v>
      </c>
      <c r="F18">
        <f t="shared" si="2"/>
        <v>74</v>
      </c>
      <c r="G18">
        <f t="shared" si="3"/>
        <v>74</v>
      </c>
      <c r="H18">
        <f t="shared" si="0"/>
        <v>76</v>
      </c>
      <c r="I18">
        <f t="shared" si="1"/>
        <v>0</v>
      </c>
      <c r="J18">
        <f t="shared" si="4"/>
        <v>3</v>
      </c>
      <c r="K18">
        <v>0.17647058823529413</v>
      </c>
      <c r="N18">
        <v>0.5</v>
      </c>
      <c r="O18">
        <f>FREQUENCY(K2:K21,N17:N27)</f>
        <v>4</v>
      </c>
    </row>
    <row r="19" spans="1:15" x14ac:dyDescent="0.3">
      <c r="A19">
        <v>18</v>
      </c>
      <c r="B19">
        <v>753</v>
      </c>
      <c r="C19">
        <v>7</v>
      </c>
      <c r="D19">
        <v>46</v>
      </c>
      <c r="E19">
        <v>3</v>
      </c>
      <c r="F19">
        <f t="shared" si="2"/>
        <v>81</v>
      </c>
      <c r="G19">
        <f t="shared" si="3"/>
        <v>81</v>
      </c>
      <c r="H19">
        <f t="shared" si="0"/>
        <v>84</v>
      </c>
      <c r="I19">
        <f t="shared" si="1"/>
        <v>0</v>
      </c>
      <c r="J19">
        <f t="shared" si="4"/>
        <v>3</v>
      </c>
      <c r="K19">
        <v>0.16666666666666666</v>
      </c>
      <c r="N19">
        <v>1</v>
      </c>
      <c r="O19">
        <f>FREQUENCY(K2:K21,N17:N27)</f>
        <v>4</v>
      </c>
    </row>
    <row r="20" spans="1:15" x14ac:dyDescent="0.3">
      <c r="A20">
        <v>19</v>
      </c>
      <c r="B20">
        <v>832</v>
      </c>
      <c r="C20">
        <v>7</v>
      </c>
      <c r="D20">
        <v>60</v>
      </c>
      <c r="E20">
        <v>3</v>
      </c>
      <c r="F20">
        <f t="shared" si="2"/>
        <v>88</v>
      </c>
      <c r="G20">
        <f t="shared" si="3"/>
        <v>88</v>
      </c>
      <c r="H20">
        <f t="shared" si="0"/>
        <v>91</v>
      </c>
      <c r="I20">
        <f t="shared" si="1"/>
        <v>0</v>
      </c>
      <c r="J20">
        <f t="shared" si="4"/>
        <v>3</v>
      </c>
      <c r="K20">
        <v>0.15789473684210525</v>
      </c>
      <c r="N20">
        <v>1.5</v>
      </c>
      <c r="O20">
        <f>FREQUENCY(K2:K21,N17:N27)</f>
        <v>4</v>
      </c>
    </row>
    <row r="21" spans="1:15" x14ac:dyDescent="0.3">
      <c r="A21">
        <v>20</v>
      </c>
      <c r="B21">
        <v>211</v>
      </c>
      <c r="C21">
        <v>2</v>
      </c>
      <c r="D21">
        <v>2</v>
      </c>
      <c r="E21">
        <v>1</v>
      </c>
      <c r="F21">
        <f t="shared" si="2"/>
        <v>95</v>
      </c>
      <c r="G21">
        <f>MAX(H20,F21)</f>
        <v>95</v>
      </c>
      <c r="H21">
        <f t="shared" si="0"/>
        <v>96</v>
      </c>
      <c r="I21">
        <f t="shared" si="1"/>
        <v>0</v>
      </c>
      <c r="J21">
        <f t="shared" si="4"/>
        <v>3</v>
      </c>
      <c r="K21">
        <v>0.15</v>
      </c>
      <c r="N21">
        <v>2</v>
      </c>
      <c r="O21">
        <f>FREQUENCY(K2:K21,N17:N27)</f>
        <v>4</v>
      </c>
    </row>
    <row r="22" spans="1:15" x14ac:dyDescent="0.3">
      <c r="N22">
        <v>2.5</v>
      </c>
      <c r="O22">
        <f>FREQUENCY(K2:K21,N17:N27)</f>
        <v>4</v>
      </c>
    </row>
    <row r="23" spans="1:15" x14ac:dyDescent="0.3">
      <c r="N23">
        <v>3</v>
      </c>
      <c r="O23">
        <f>FREQUENCY(K2:K21,N17:N27)</f>
        <v>4</v>
      </c>
    </row>
    <row r="24" spans="1:15" x14ac:dyDescent="0.3">
      <c r="N24">
        <v>3.5</v>
      </c>
      <c r="O24">
        <f>FREQUENCY(K2:K21,N17:N27)</f>
        <v>4</v>
      </c>
    </row>
    <row r="25" spans="1:15" x14ac:dyDescent="0.3">
      <c r="N25">
        <v>4</v>
      </c>
      <c r="O25">
        <f>FREQUENCY(K2:K21,N17:N27)</f>
        <v>4</v>
      </c>
    </row>
    <row r="26" spans="1:15" x14ac:dyDescent="0.3">
      <c r="N26">
        <v>4.5</v>
      </c>
      <c r="O26">
        <f>FREQUENCY(K2:K21,N17:N27)</f>
        <v>4</v>
      </c>
    </row>
    <row r="27" spans="1:15" x14ac:dyDescent="0.3">
      <c r="N27" s="6" t="str">
        <f>"&gt;"&amp;N26</f>
        <v>&gt;4.5</v>
      </c>
      <c r="O27">
        <f>FREQUENCY(K2:K21,N17:N27)</f>
        <v>4</v>
      </c>
    </row>
  </sheetData>
  <pageMargins left="0.7" right="0.7" top="0.75" bottom="0.75" header="0.3" footer="0.3"/>
  <pageSetup orientation="portrait" horizontalDpi="4294967294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alcwt">
          <controlPr defaultSize="0" autoLine="0" r:id="rId5">
            <anchor moveWithCells="1">
              <from>
                <xdr:col>12</xdr:col>
                <xdr:colOff>434340</xdr:colOff>
                <xdr:row>13</xdr:row>
                <xdr:rowOff>30480</xdr:rowOff>
              </from>
              <to>
                <xdr:col>12</xdr:col>
                <xdr:colOff>2301240</xdr:colOff>
                <xdr:row>14</xdr:row>
                <xdr:rowOff>167640</xdr:rowOff>
              </to>
            </anchor>
          </controlPr>
        </control>
      </mc:Choice>
      <mc:Fallback>
        <control shapeId="3074" r:id="rId4" name="calcwt"/>
      </mc:Fallback>
    </mc:AlternateContent>
    <mc:AlternateContent xmlns:mc="http://schemas.openxmlformats.org/markup-compatibility/2006">
      <mc:Choice Requires="x14">
        <control shapeId="3073" r:id="rId6" name="Getstandiat">
          <controlPr defaultSize="0" autoLine="0" r:id="rId7">
            <anchor moveWithCells="1">
              <from>
                <xdr:col>12</xdr:col>
                <xdr:colOff>403860</xdr:colOff>
                <xdr:row>10</xdr:row>
                <xdr:rowOff>7620</xdr:rowOff>
              </from>
              <to>
                <xdr:col>12</xdr:col>
                <xdr:colOff>2301240</xdr:colOff>
                <xdr:row>11</xdr:row>
                <xdr:rowOff>167640</xdr:rowOff>
              </to>
            </anchor>
          </controlPr>
        </control>
      </mc:Choice>
      <mc:Fallback>
        <control shapeId="3073" r:id="rId6" name="Getstandia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FLAG</dc:creator>
  <cp:lastModifiedBy>FLAG</cp:lastModifiedBy>
  <dcterms:created xsi:type="dcterms:W3CDTF">2016-02-14T19:42:01Z</dcterms:created>
  <dcterms:modified xsi:type="dcterms:W3CDTF">2016-02-17T06:50:36Z</dcterms:modified>
</cp:coreProperties>
</file>